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4235"/>
  </bookViews>
  <sheets>
    <sheet name="Sheet2" sheetId="2" r:id="rId1"/>
    <sheet name="Sheet1" sheetId="1" r:id="rId2"/>
  </sheets>
  <calcPr calcId="152511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1" l="1"/>
  <c r="U4" i="1"/>
  <c r="T4" i="1"/>
  <c r="S4" i="1"/>
  <c r="R4" i="1"/>
  <c r="Q4" i="1"/>
  <c r="P4" i="1"/>
  <c r="O4" i="1"/>
</calcChain>
</file>

<file path=xl/sharedStrings.xml><?xml version="1.0" encoding="utf-8"?>
<sst xmlns="http://schemas.openxmlformats.org/spreadsheetml/2006/main" count="120" uniqueCount="83">
  <si>
    <t>Order ID</t>
  </si>
  <si>
    <t>Order Date</t>
  </si>
  <si>
    <t>Customer ID</t>
  </si>
  <si>
    <t>Customer Name</t>
  </si>
  <si>
    <t>Category</t>
  </si>
  <si>
    <t>Sub-Category</t>
  </si>
  <si>
    <t>Product Name</t>
  </si>
  <si>
    <t>Region</t>
  </si>
  <si>
    <t>Salesperson</t>
  </si>
  <si>
    <t>Quantity</t>
  </si>
  <si>
    <t>Unit Price</t>
  </si>
  <si>
    <t>Total Sales</t>
  </si>
  <si>
    <t>O001</t>
  </si>
  <si>
    <t>C101</t>
  </si>
  <si>
    <t>Amit Sharma</t>
  </si>
  <si>
    <t>Furniture</t>
  </si>
  <si>
    <t>Chairs</t>
  </si>
  <si>
    <t>Office Chair</t>
  </si>
  <si>
    <t>East</t>
  </si>
  <si>
    <t>Rahul</t>
  </si>
  <si>
    <t>O002</t>
  </si>
  <si>
    <t>C102</t>
  </si>
  <si>
    <t>Neha Verma</t>
  </si>
  <si>
    <t>Technology</t>
  </si>
  <si>
    <t>Phones</t>
  </si>
  <si>
    <t>Smartphone</t>
  </si>
  <si>
    <t>West</t>
  </si>
  <si>
    <t>Priya</t>
  </si>
  <si>
    <t>O003</t>
  </si>
  <si>
    <t>C103</t>
  </si>
  <si>
    <t>Rohan Mehta</t>
  </si>
  <si>
    <t>Office Supplies</t>
  </si>
  <si>
    <t>Paper</t>
  </si>
  <si>
    <t>A4 Paper Pack</t>
  </si>
  <si>
    <t>North</t>
  </si>
  <si>
    <t>Ankit</t>
  </si>
  <si>
    <t>O004</t>
  </si>
  <si>
    <t>C104</t>
  </si>
  <si>
    <t>Sneha Iyer</t>
  </si>
  <si>
    <t>Tables</t>
  </si>
  <si>
    <t>Study Table</t>
  </si>
  <si>
    <t>South</t>
  </si>
  <si>
    <t>Kavya</t>
  </si>
  <si>
    <t>O005</t>
  </si>
  <si>
    <t>C105</t>
  </si>
  <si>
    <t>Arjun Singh</t>
  </si>
  <si>
    <t>Accessories</t>
  </si>
  <si>
    <t>Wireless Mouse</t>
  </si>
  <si>
    <t>O006</t>
  </si>
  <si>
    <t>Binders</t>
  </si>
  <si>
    <t>Ring Binder</t>
  </si>
  <si>
    <t>O007</t>
  </si>
  <si>
    <t>C106</t>
  </si>
  <si>
    <t>Pooja Nair</t>
  </si>
  <si>
    <t>Bookcases</t>
  </si>
  <si>
    <t>Wooden Bookcase</t>
  </si>
  <si>
    <t>O008</t>
  </si>
  <si>
    <t>C107</t>
  </si>
  <si>
    <t>Vikram Patel</t>
  </si>
  <si>
    <t>Laptops</t>
  </si>
  <si>
    <t>Laptop</t>
  </si>
  <si>
    <t>O009</t>
  </si>
  <si>
    <t>Pens</t>
  </si>
  <si>
    <t>Gel Pen Pack</t>
  </si>
  <si>
    <t>O010</t>
  </si>
  <si>
    <t>C108</t>
  </si>
  <si>
    <t>Sanjay Kumar</t>
  </si>
  <si>
    <t>Visitor Chair</t>
  </si>
  <si>
    <t>SUMIF</t>
  </si>
  <si>
    <t>COUNTIF</t>
  </si>
  <si>
    <t>COUNT</t>
  </si>
  <si>
    <t>VLOOKUP</t>
  </si>
  <si>
    <t>MAX</t>
  </si>
  <si>
    <t>MIN</t>
  </si>
  <si>
    <t>Row Labels</t>
  </si>
  <si>
    <t>Grand Total</t>
  </si>
  <si>
    <t>(All)</t>
  </si>
  <si>
    <t>Sum of Total Sales</t>
  </si>
  <si>
    <t>Sum of Unit Price</t>
  </si>
  <si>
    <t>Sum of Quantity</t>
  </si>
  <si>
    <t>SUM</t>
  </si>
  <si>
    <t>AVERAGE</t>
  </si>
  <si>
    <t>Data Analysis of Adnan Super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</si>
</sst>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28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2" borderId="1" xfId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Zahir" refreshedDate="46053.684086805559" createdVersion="5" refreshedVersion="5" minRefreshableVersion="3" recordCount="10">
  <cacheSource type="worksheet">
    <worksheetSource ref="A2:L12" sheet="Sheet1"/>
  </cacheSource>
  <cacheFields count="12">
    <cacheField name="Order ID" numFmtId="0">
      <sharedItems count="10">
        <s v="O001"/>
        <s v="O002"/>
        <s v="O003"/>
        <s v="O004"/>
        <s v="O005"/>
        <s v="O006"/>
        <s v="O007"/>
        <s v="O008"/>
        <s v="O009"/>
        <s v="O010"/>
      </sharedItems>
    </cacheField>
    <cacheField name="Order Date" numFmtId="14">
      <sharedItems containsSemiMixedTypes="0" containsNonDate="0" containsDate="1" containsString="0" minDate="2024-01-01T00:00:00" maxDate="2024-01-11T00:00:00" count="1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</sharedItems>
    </cacheField>
    <cacheField name="Customer ID" numFmtId="0">
      <sharedItems count="8">
        <s v="C101"/>
        <s v="C102"/>
        <s v="C103"/>
        <s v="C104"/>
        <s v="C105"/>
        <s v="C106"/>
        <s v="C107"/>
        <s v="C108"/>
      </sharedItems>
    </cacheField>
    <cacheField name="Customer Name" numFmtId="0">
      <sharedItems count="8">
        <s v="Amit Sharma"/>
        <s v="Neha Verma"/>
        <s v="Rohan Mehta"/>
        <s v="Sneha Iyer"/>
        <s v="Arjun Singh"/>
        <s v="Pooja Nair"/>
        <s v="Vikram Patel"/>
        <s v="Sanjay Kumar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9">
        <s v="Chairs"/>
        <s v="Phones"/>
        <s v="Paper"/>
        <s v="Tables"/>
        <s v="Accessories"/>
        <s v="Binders"/>
        <s v="Bookcases"/>
        <s v="Laptops"/>
        <s v="Pens"/>
      </sharedItems>
    </cacheField>
    <cacheField name="Product Name" numFmtId="0">
      <sharedItems count="10">
        <s v="Office Chair"/>
        <s v="Smartphone"/>
        <s v="A4 Paper Pack"/>
        <s v="Study Table"/>
        <s v="Wireless Mouse"/>
        <s v="Ring Binder"/>
        <s v="Wooden Bookcase"/>
        <s v="Laptop"/>
        <s v="Gel Pen Pack"/>
        <s v="Visitor Chair"/>
      </sharedItems>
    </cacheField>
    <cacheField name="Region" numFmtId="0">
      <sharedItems count="4">
        <s v="East"/>
        <s v="West"/>
        <s v="North"/>
        <s v="South"/>
      </sharedItems>
    </cacheField>
    <cacheField name="Salesperson" numFmtId="0">
      <sharedItems count="4">
        <s v="Rahul"/>
        <s v="Priya"/>
        <s v="Ankit"/>
        <s v="Kavya"/>
      </sharedItems>
    </cacheField>
    <cacheField name="Quantity" numFmtId="0">
      <sharedItems containsSemiMixedTypes="0" containsString="0" containsNumber="1" containsInteger="1" minValue="1" maxValue="10" count="7">
        <n v="2"/>
        <n v="1"/>
        <n v="5"/>
        <n v="3"/>
        <n v="4"/>
        <n v="10"/>
        <n v="6"/>
      </sharedItems>
    </cacheField>
    <cacheField name="Unit Price" numFmtId="0">
      <sharedItems containsSemiMixedTypes="0" containsString="0" containsNumber="1" containsInteger="1" minValue="120" maxValue="55000" count="10">
        <n v="3500"/>
        <n v="18000"/>
        <n v="250"/>
        <n v="8500"/>
        <n v="900"/>
        <n v="300"/>
        <n v="12000"/>
        <n v="55000"/>
        <n v="120"/>
        <n v="1500"/>
      </sharedItems>
    </cacheField>
    <cacheField name="Total Sales" numFmtId="0">
      <sharedItems containsSemiMixedTypes="0" containsString="0" containsNumber="1" containsInteger="1" minValue="1200" maxValue="55000" count="9">
        <n v="7000"/>
        <n v="18000"/>
        <n v="1250"/>
        <n v="8500"/>
        <n v="2700"/>
        <n v="1200"/>
        <n v="12000"/>
        <n v="55000"/>
        <n v="9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  <x v="2"/>
  </r>
  <r>
    <x v="3"/>
    <x v="3"/>
    <x v="3"/>
    <x v="3"/>
    <x v="0"/>
    <x v="3"/>
    <x v="3"/>
    <x v="3"/>
    <x v="3"/>
    <x v="1"/>
    <x v="3"/>
    <x v="3"/>
  </r>
  <r>
    <x v="4"/>
    <x v="4"/>
    <x v="4"/>
    <x v="4"/>
    <x v="1"/>
    <x v="4"/>
    <x v="4"/>
    <x v="0"/>
    <x v="0"/>
    <x v="3"/>
    <x v="4"/>
    <x v="4"/>
  </r>
  <r>
    <x v="5"/>
    <x v="5"/>
    <x v="0"/>
    <x v="0"/>
    <x v="2"/>
    <x v="5"/>
    <x v="5"/>
    <x v="1"/>
    <x v="1"/>
    <x v="4"/>
    <x v="5"/>
    <x v="5"/>
  </r>
  <r>
    <x v="6"/>
    <x v="6"/>
    <x v="5"/>
    <x v="5"/>
    <x v="0"/>
    <x v="6"/>
    <x v="6"/>
    <x v="3"/>
    <x v="3"/>
    <x v="1"/>
    <x v="6"/>
    <x v="6"/>
  </r>
  <r>
    <x v="7"/>
    <x v="7"/>
    <x v="6"/>
    <x v="6"/>
    <x v="1"/>
    <x v="7"/>
    <x v="7"/>
    <x v="2"/>
    <x v="2"/>
    <x v="1"/>
    <x v="7"/>
    <x v="7"/>
  </r>
  <r>
    <x v="8"/>
    <x v="8"/>
    <x v="1"/>
    <x v="1"/>
    <x v="2"/>
    <x v="8"/>
    <x v="8"/>
    <x v="0"/>
    <x v="0"/>
    <x v="5"/>
    <x v="8"/>
    <x v="5"/>
  </r>
  <r>
    <x v="9"/>
    <x v="9"/>
    <x v="7"/>
    <x v="7"/>
    <x v="0"/>
    <x v="0"/>
    <x v="9"/>
    <x v="1"/>
    <x v="1"/>
    <x v="6"/>
    <x v="9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6:D17" firstHeaderRow="0" firstDataRow="1" firstDataCol="1" rowPageCount="2" colPageCount="1"/>
  <pivotFields count="12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4"/>
        <item x="1"/>
        <item x="5"/>
        <item x="2"/>
        <item x="7"/>
        <item x="3"/>
        <item x="6"/>
        <item t="default"/>
      </items>
    </pivotField>
    <pivotField axis="axisPage" multipleItemSelectionAllowed="1" showAll="0">
      <items count="4">
        <item x="0"/>
        <item x="2"/>
        <item x="1"/>
        <item t="default"/>
      </items>
    </pivotField>
    <pivotField showAll="0">
      <items count="10">
        <item x="4"/>
        <item x="5"/>
        <item x="6"/>
        <item x="0"/>
        <item x="7"/>
        <item x="2"/>
        <item x="8"/>
        <item x="1"/>
        <item x="3"/>
        <item t="default"/>
      </items>
    </pivotField>
    <pivotField axis="axisRow" showAll="0">
      <items count="11">
        <item x="2"/>
        <item x="8"/>
        <item x="7"/>
        <item x="0"/>
        <item x="5"/>
        <item x="1"/>
        <item x="3"/>
        <item x="9"/>
        <item x="4"/>
        <item x="6"/>
        <item t="default"/>
      </items>
    </pivotField>
    <pivotField axis="axisPage" multipleItemSelectionAllowed="1" showAll="0">
      <items count="5">
        <item x="0"/>
        <item x="2"/>
        <item x="3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>
      <items count="8">
        <item x="1"/>
        <item x="0"/>
        <item x="3"/>
        <item x="4"/>
        <item x="2"/>
        <item x="6"/>
        <item x="5"/>
        <item t="default"/>
      </items>
    </pivotField>
    <pivotField dataField="1" showAll="0">
      <items count="11">
        <item x="8"/>
        <item x="2"/>
        <item x="5"/>
        <item x="4"/>
        <item x="9"/>
        <item x="0"/>
        <item x="3"/>
        <item x="6"/>
        <item x="1"/>
        <item x="7"/>
        <item t="default"/>
      </items>
    </pivotField>
    <pivotField dataField="1" showAll="0">
      <items count="10">
        <item x="5"/>
        <item x="2"/>
        <item x="4"/>
        <item x="0"/>
        <item x="3"/>
        <item x="8"/>
        <item x="6"/>
        <item x="1"/>
        <item x="7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4" hier="-1"/>
  </pageFields>
  <dataFields count="3">
    <dataField name="Sum of Quantity" fld="9" baseField="0" baseItem="0"/>
    <dataField name="Sum of Unit Price" fld="10" baseField="0" baseItem="0"/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7"/>
  <sheetViews>
    <sheetView tabSelected="1" workbookViewId="0">
      <selection activeCell="J29" sqref="J29"/>
    </sheetView>
  </sheetViews>
  <sheetFormatPr defaultRowHeight="15" x14ac:dyDescent="0.25"/>
  <cols>
    <col min="1" max="1" width="17.5703125" customWidth="1"/>
    <col min="2" max="2" width="15.42578125" customWidth="1"/>
    <col min="3" max="3" width="16.42578125" customWidth="1"/>
    <col min="4" max="4" width="17.28515625" customWidth="1"/>
    <col min="5" max="5" width="11.42578125" customWidth="1"/>
    <col min="6" max="6" width="11.140625" customWidth="1"/>
    <col min="7" max="7" width="11.85546875" customWidth="1"/>
    <col min="8" max="8" width="11.28515625" customWidth="1"/>
    <col min="9" max="9" width="11.85546875" customWidth="1"/>
    <col min="10" max="10" width="15.5703125" customWidth="1"/>
    <col min="11" max="11" width="17.7109375" customWidth="1"/>
    <col min="12" max="12" width="17.28515625" customWidth="1"/>
    <col min="13" max="13" width="12.42578125" customWidth="1"/>
    <col min="14" max="14" width="7" customWidth="1"/>
    <col min="15" max="15" width="11.42578125" customWidth="1"/>
    <col min="16" max="16" width="11.140625" customWidth="1"/>
    <col min="17" max="17" width="11.85546875" customWidth="1"/>
    <col min="18" max="18" width="11.28515625" customWidth="1"/>
    <col min="19" max="19" width="11.85546875" customWidth="1"/>
    <col min="20" max="20" width="15.5703125" customWidth="1"/>
    <col min="21" max="21" width="17.7109375" customWidth="1"/>
    <col min="22" max="22" width="21.5703125" bestFit="1" customWidth="1"/>
    <col min="23" max="23" width="22.28515625" bestFit="1" customWidth="1"/>
  </cols>
  <sheetData>
    <row r="3" spans="1:4" x14ac:dyDescent="0.25">
      <c r="A3" s="1" t="s">
        <v>7</v>
      </c>
      <c r="B3" t="s">
        <v>76</v>
      </c>
    </row>
    <row r="4" spans="1:4" x14ac:dyDescent="0.25">
      <c r="A4" s="1" t="s">
        <v>4</v>
      </c>
      <c r="B4" t="s">
        <v>76</v>
      </c>
    </row>
    <row r="6" spans="1:4" x14ac:dyDescent="0.25">
      <c r="A6" s="1" t="s">
        <v>74</v>
      </c>
      <c r="B6" t="s">
        <v>79</v>
      </c>
      <c r="C6" t="s">
        <v>78</v>
      </c>
      <c r="D6" t="s">
        <v>77</v>
      </c>
    </row>
    <row r="7" spans="1:4" x14ac:dyDescent="0.25">
      <c r="A7" s="2" t="s">
        <v>33</v>
      </c>
      <c r="B7" s="3">
        <v>5</v>
      </c>
      <c r="C7" s="3">
        <v>250</v>
      </c>
      <c r="D7" s="3">
        <v>1250</v>
      </c>
    </row>
    <row r="8" spans="1:4" x14ac:dyDescent="0.25">
      <c r="A8" s="2" t="s">
        <v>63</v>
      </c>
      <c r="B8" s="3">
        <v>10</v>
      </c>
      <c r="C8" s="3">
        <v>120</v>
      </c>
      <c r="D8" s="3">
        <v>1200</v>
      </c>
    </row>
    <row r="9" spans="1:4" x14ac:dyDescent="0.25">
      <c r="A9" s="2" t="s">
        <v>60</v>
      </c>
      <c r="B9" s="3">
        <v>1</v>
      </c>
      <c r="C9" s="3">
        <v>55000</v>
      </c>
      <c r="D9" s="3">
        <v>55000</v>
      </c>
    </row>
    <row r="10" spans="1:4" x14ac:dyDescent="0.25">
      <c r="A10" s="2" t="s">
        <v>17</v>
      </c>
      <c r="B10" s="3">
        <v>2</v>
      </c>
      <c r="C10" s="3">
        <v>3500</v>
      </c>
      <c r="D10" s="3">
        <v>7000</v>
      </c>
    </row>
    <row r="11" spans="1:4" x14ac:dyDescent="0.25">
      <c r="A11" s="2" t="s">
        <v>50</v>
      </c>
      <c r="B11" s="3">
        <v>4</v>
      </c>
      <c r="C11" s="3">
        <v>300</v>
      </c>
      <c r="D11" s="3">
        <v>1200</v>
      </c>
    </row>
    <row r="12" spans="1:4" x14ac:dyDescent="0.25">
      <c r="A12" s="2" t="s">
        <v>25</v>
      </c>
      <c r="B12" s="3">
        <v>1</v>
      </c>
      <c r="C12" s="3">
        <v>18000</v>
      </c>
      <c r="D12" s="3">
        <v>18000</v>
      </c>
    </row>
    <row r="13" spans="1:4" x14ac:dyDescent="0.25">
      <c r="A13" s="2" t="s">
        <v>40</v>
      </c>
      <c r="B13" s="3">
        <v>1</v>
      </c>
      <c r="C13" s="3">
        <v>8500</v>
      </c>
      <c r="D13" s="3">
        <v>8500</v>
      </c>
    </row>
    <row r="14" spans="1:4" x14ac:dyDescent="0.25">
      <c r="A14" s="2" t="s">
        <v>67</v>
      </c>
      <c r="B14" s="3">
        <v>6</v>
      </c>
      <c r="C14" s="3">
        <v>1500</v>
      </c>
      <c r="D14" s="3">
        <v>9000</v>
      </c>
    </row>
    <row r="15" spans="1:4" x14ac:dyDescent="0.25">
      <c r="A15" s="2" t="s">
        <v>47</v>
      </c>
      <c r="B15" s="3">
        <v>3</v>
      </c>
      <c r="C15" s="3">
        <v>900</v>
      </c>
      <c r="D15" s="3">
        <v>2700</v>
      </c>
    </row>
    <row r="16" spans="1:4" x14ac:dyDescent="0.25">
      <c r="A16" s="2" t="s">
        <v>55</v>
      </c>
      <c r="B16" s="3">
        <v>1</v>
      </c>
      <c r="C16" s="3">
        <v>12000</v>
      </c>
      <c r="D16" s="3">
        <v>12000</v>
      </c>
    </row>
    <row r="17" spans="1:4" x14ac:dyDescent="0.25">
      <c r="A17" s="2" t="s">
        <v>75</v>
      </c>
      <c r="B17" s="3">
        <v>34</v>
      </c>
      <c r="C17" s="3">
        <v>100070</v>
      </c>
      <c r="D17" s="3">
        <v>115850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workbookViewId="0">
      <selection activeCell="Z25" sqref="Z25"/>
    </sheetView>
  </sheetViews>
  <sheetFormatPr defaultRowHeight="15" x14ac:dyDescent="0.25"/>
  <cols>
    <col min="2" max="2" width="11.28515625" customWidth="1"/>
    <col min="3" max="3" width="12.5703125" customWidth="1"/>
    <col min="4" max="4" width="17.7109375" customWidth="1"/>
    <col min="5" max="5" width="11.5703125" customWidth="1"/>
    <col min="7" max="7" width="13.5703125" customWidth="1"/>
    <col min="22" max="22" width="10.28515625" customWidth="1"/>
  </cols>
  <sheetData>
    <row r="1" spans="1:23" s="4" customFormat="1" ht="39.75" customHeight="1" x14ac:dyDescent="0.5">
      <c r="A1" s="5" t="s">
        <v>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30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</row>
    <row r="3" spans="1:23" ht="30" x14ac:dyDescent="0.25">
      <c r="A3" s="9" t="s">
        <v>12</v>
      </c>
      <c r="B3" s="10">
        <v>45292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11">
        <v>2</v>
      </c>
      <c r="K3" s="12">
        <v>3500</v>
      </c>
      <c r="L3" s="12">
        <v>7000</v>
      </c>
      <c r="O3" s="6" t="s">
        <v>73</v>
      </c>
      <c r="P3" s="6" t="s">
        <v>72</v>
      </c>
      <c r="Q3" s="6" t="s">
        <v>68</v>
      </c>
      <c r="R3" s="6" t="s">
        <v>69</v>
      </c>
      <c r="S3" s="6" t="s">
        <v>71</v>
      </c>
      <c r="T3" s="6" t="s">
        <v>70</v>
      </c>
      <c r="U3" s="6" t="s">
        <v>80</v>
      </c>
      <c r="V3" s="6" t="s">
        <v>81</v>
      </c>
    </row>
    <row r="4" spans="1:23" ht="30" x14ac:dyDescent="0.25">
      <c r="A4" s="9" t="s">
        <v>20</v>
      </c>
      <c r="B4" s="10">
        <v>45293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27</v>
      </c>
      <c r="J4" s="13">
        <v>1</v>
      </c>
      <c r="K4" s="12">
        <v>18000</v>
      </c>
      <c r="L4" s="12">
        <v>18000</v>
      </c>
      <c r="O4" s="7">
        <f>MIN(J3:J12)</f>
        <v>1</v>
      </c>
      <c r="P4" s="7">
        <f>MAX(J3:J12)</f>
        <v>10</v>
      </c>
      <c r="Q4" s="7">
        <f>SUMIF(J3:J12,"&gt;3")</f>
        <v>25</v>
      </c>
      <c r="R4" s="7">
        <f>COUNTIF(L3:L12,"=1200")</f>
        <v>2</v>
      </c>
      <c r="S4" s="7">
        <f>VLOOKUP(A6,A2:L12,12,TRUE)</f>
        <v>8500</v>
      </c>
      <c r="T4" s="7">
        <f>COUNT(L3:L12)</f>
        <v>10</v>
      </c>
      <c r="U4" s="7">
        <f>SUM(L3:L12)</f>
        <v>115850</v>
      </c>
      <c r="V4" s="7">
        <f>AVERAGE(L3:L12)</f>
        <v>11585</v>
      </c>
    </row>
    <row r="5" spans="1:23" ht="30" x14ac:dyDescent="0.25">
      <c r="A5" s="9" t="s">
        <v>28</v>
      </c>
      <c r="B5" s="10">
        <v>45292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34</v>
      </c>
      <c r="I5" s="9" t="s">
        <v>35</v>
      </c>
      <c r="J5" s="12">
        <v>5</v>
      </c>
      <c r="K5" s="12">
        <v>250</v>
      </c>
      <c r="L5" s="12">
        <v>1250</v>
      </c>
    </row>
    <row r="6" spans="1:23" ht="30" x14ac:dyDescent="0.25">
      <c r="A6" s="9" t="s">
        <v>36</v>
      </c>
      <c r="B6" s="10">
        <v>45295</v>
      </c>
      <c r="C6" s="9" t="s">
        <v>37</v>
      </c>
      <c r="D6" s="9" t="s">
        <v>38</v>
      </c>
      <c r="E6" s="9" t="s">
        <v>15</v>
      </c>
      <c r="F6" s="9" t="s">
        <v>39</v>
      </c>
      <c r="G6" s="9" t="s">
        <v>40</v>
      </c>
      <c r="H6" s="9" t="s">
        <v>41</v>
      </c>
      <c r="I6" s="9" t="s">
        <v>42</v>
      </c>
      <c r="J6" s="13">
        <v>1</v>
      </c>
      <c r="K6" s="12">
        <v>8500</v>
      </c>
      <c r="L6" s="12">
        <v>8500</v>
      </c>
    </row>
    <row r="7" spans="1:23" ht="30" x14ac:dyDescent="0.25">
      <c r="A7" s="9" t="s">
        <v>43</v>
      </c>
      <c r="B7" s="10">
        <v>45296</v>
      </c>
      <c r="C7" s="9" t="s">
        <v>44</v>
      </c>
      <c r="D7" s="9" t="s">
        <v>45</v>
      </c>
      <c r="E7" s="9" t="s">
        <v>23</v>
      </c>
      <c r="F7" s="9" t="s">
        <v>46</v>
      </c>
      <c r="G7" s="9" t="s">
        <v>47</v>
      </c>
      <c r="H7" s="9" t="s">
        <v>18</v>
      </c>
      <c r="I7" s="9" t="s">
        <v>19</v>
      </c>
      <c r="J7" s="13">
        <v>3</v>
      </c>
      <c r="K7" s="12">
        <v>900</v>
      </c>
      <c r="L7" s="12">
        <v>2700</v>
      </c>
    </row>
    <row r="8" spans="1:23" ht="30" x14ac:dyDescent="0.25">
      <c r="A8" s="9" t="s">
        <v>48</v>
      </c>
      <c r="B8" s="10">
        <v>45297</v>
      </c>
      <c r="C8" s="9" t="s">
        <v>13</v>
      </c>
      <c r="D8" s="9" t="s">
        <v>14</v>
      </c>
      <c r="E8" s="9" t="s">
        <v>31</v>
      </c>
      <c r="F8" s="9" t="s">
        <v>49</v>
      </c>
      <c r="G8" s="9" t="s">
        <v>50</v>
      </c>
      <c r="H8" s="9" t="s">
        <v>26</v>
      </c>
      <c r="I8" s="9" t="s">
        <v>27</v>
      </c>
      <c r="J8" s="13">
        <v>4</v>
      </c>
      <c r="K8" s="12">
        <v>300</v>
      </c>
      <c r="L8" s="12">
        <v>1200</v>
      </c>
    </row>
    <row r="9" spans="1:23" ht="45" x14ac:dyDescent="0.25">
      <c r="A9" s="9" t="s">
        <v>51</v>
      </c>
      <c r="B9" s="10">
        <v>45298</v>
      </c>
      <c r="C9" s="9" t="s">
        <v>52</v>
      </c>
      <c r="D9" s="9" t="s">
        <v>53</v>
      </c>
      <c r="E9" s="9" t="s">
        <v>15</v>
      </c>
      <c r="F9" s="9" t="s">
        <v>54</v>
      </c>
      <c r="G9" s="9" t="s">
        <v>55</v>
      </c>
      <c r="H9" s="9" t="s">
        <v>41</v>
      </c>
      <c r="I9" s="9" t="s">
        <v>42</v>
      </c>
      <c r="J9" s="13">
        <v>1</v>
      </c>
      <c r="K9" s="12">
        <v>12000</v>
      </c>
      <c r="L9" s="12">
        <v>12000</v>
      </c>
    </row>
    <row r="10" spans="1:23" ht="30" x14ac:dyDescent="0.25">
      <c r="A10" s="9" t="s">
        <v>56</v>
      </c>
      <c r="B10" s="10">
        <v>45299</v>
      </c>
      <c r="C10" s="9" t="s">
        <v>57</v>
      </c>
      <c r="D10" s="9" t="s">
        <v>58</v>
      </c>
      <c r="E10" s="9" t="s">
        <v>23</v>
      </c>
      <c r="F10" s="9" t="s">
        <v>59</v>
      </c>
      <c r="G10" s="9" t="s">
        <v>60</v>
      </c>
      <c r="H10" s="9" t="s">
        <v>34</v>
      </c>
      <c r="I10" s="9" t="s">
        <v>35</v>
      </c>
      <c r="J10" s="13">
        <v>1</v>
      </c>
      <c r="K10" s="12">
        <v>55000</v>
      </c>
      <c r="L10" s="12">
        <v>55000</v>
      </c>
    </row>
    <row r="11" spans="1:23" ht="30" x14ac:dyDescent="0.25">
      <c r="A11" s="9" t="s">
        <v>61</v>
      </c>
      <c r="B11" s="10">
        <v>45300</v>
      </c>
      <c r="C11" s="9" t="s">
        <v>21</v>
      </c>
      <c r="D11" s="9" t="s">
        <v>22</v>
      </c>
      <c r="E11" s="9" t="s">
        <v>31</v>
      </c>
      <c r="F11" s="9" t="s">
        <v>62</v>
      </c>
      <c r="G11" s="9" t="s">
        <v>63</v>
      </c>
      <c r="H11" s="9" t="s">
        <v>18</v>
      </c>
      <c r="I11" s="9" t="s">
        <v>19</v>
      </c>
      <c r="J11" s="12">
        <v>10</v>
      </c>
      <c r="K11" s="12">
        <v>120</v>
      </c>
      <c r="L11" s="12">
        <v>1200</v>
      </c>
    </row>
    <row r="12" spans="1:23" ht="30" x14ac:dyDescent="0.25">
      <c r="A12" s="9" t="s">
        <v>64</v>
      </c>
      <c r="B12" s="10">
        <v>45301</v>
      </c>
      <c r="C12" s="9" t="s">
        <v>65</v>
      </c>
      <c r="D12" s="9" t="s">
        <v>66</v>
      </c>
      <c r="E12" s="9" t="s">
        <v>15</v>
      </c>
      <c r="F12" s="9" t="s">
        <v>16</v>
      </c>
      <c r="G12" s="9" t="s">
        <v>67</v>
      </c>
      <c r="H12" s="9" t="s">
        <v>26</v>
      </c>
      <c r="I12" s="9" t="s">
        <v>27</v>
      </c>
      <c r="J12" s="13">
        <v>6</v>
      </c>
      <c r="K12" s="12">
        <v>1500</v>
      </c>
      <c r="L12" s="12">
        <v>9000</v>
      </c>
    </row>
    <row r="13" spans="1:23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</sheetData>
  <dataConsolidate/>
  <mergeCells count="1">
    <mergeCell ref="A1:W1"/>
  </mergeCells>
  <conditionalFormatting sqref="J4">
    <cfRule type="cellIs" dxfId="5" priority="6" operator="greaterThan">
      <formula>4</formula>
    </cfRule>
  </conditionalFormatting>
  <conditionalFormatting sqref="J3">
    <cfRule type="cellIs" dxfId="4" priority="5" operator="greaterThan">
      <formula>4</formula>
    </cfRule>
  </conditionalFormatting>
  <conditionalFormatting sqref="J5">
    <cfRule type="cellIs" dxfId="3" priority="4" operator="greaterThan">
      <formula>4</formula>
    </cfRule>
  </conditionalFormatting>
  <conditionalFormatting sqref="J11">
    <cfRule type="cellIs" dxfId="2" priority="2" operator="greaterThan">
      <formula>5</formula>
    </cfRule>
    <cfRule type="cellIs" dxfId="1" priority="3" operator="lessThan">
      <formula>4</formula>
    </cfRule>
  </conditionalFormatting>
  <conditionalFormatting sqref="J12">
    <cfRule type="cellIs" dxfId="0" priority="1" operator="greaterThan">
      <formula>4</formula>
    </cfRule>
  </conditionalFormatting>
  <dataValidations count="7">
    <dataValidation type="whole" allowBlank="1" showInputMessage="1" showErrorMessage="1" errorTitle="WARNING" error="Please enter a valid date" sqref="B11">
      <formula1>45292</formula1>
      <formula2>45300</formula2>
    </dataValidation>
    <dataValidation type="whole" allowBlank="1" showInputMessage="1" showErrorMessage="1" errorTitle="warning" error="WARNING_x000a__x000a__x000a__x000a__x000a__x000a__x000a__x000a_Please enter a valied date" sqref="B3">
      <formula1>45292</formula1>
      <formula2>45300</formula2>
    </dataValidation>
    <dataValidation type="whole" allowBlank="1" showInputMessage="1" showErrorMessage="1" errorTitle="WARNING" error="Please enter a valid date" sqref="B12">
      <formula1>45292</formula1>
      <formula2>45301</formula2>
    </dataValidation>
    <dataValidation type="date" allowBlank="1" showInputMessage="1" showErrorMessage="1" errorTitle="WARNING" error="Please enter a valid date" sqref="B4">
      <formula1>45293</formula1>
      <formula2>45301</formula2>
    </dataValidation>
    <dataValidation type="whole" allowBlank="1" showInputMessage="1" showErrorMessage="1" errorTitle="WARNING" error="please enter a valid date" sqref="B5 B8">
      <formula1>45292</formula1>
      <formula2>45300</formula2>
    </dataValidation>
    <dataValidation type="whole" allowBlank="1" showInputMessage="1" showErrorMessage="1" errorTitle="WARNING" error="Please enter a valid date " sqref="B6">
      <formula1>45292</formula1>
      <formula2>45300</formula2>
    </dataValidation>
    <dataValidation type="whole" allowBlank="1" showInputMessage="1" showErrorMessage="1" errorTitle="WARNING" error="Please enter a valid date" sqref="B7 B9 B10">
      <formula1>45292</formula1>
      <formula2>45300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</dc:creator>
  <cp:lastModifiedBy>Zahir</cp:lastModifiedBy>
  <dcterms:created xsi:type="dcterms:W3CDTF">2026-01-31T10:54:54Z</dcterms:created>
  <dcterms:modified xsi:type="dcterms:W3CDTF">2026-01-31T13:09:42Z</dcterms:modified>
</cp:coreProperties>
</file>